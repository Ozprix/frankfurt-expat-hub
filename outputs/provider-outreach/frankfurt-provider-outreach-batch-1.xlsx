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ea10106d2f4f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reach Dashboard" sheetId="1" r:id="R844b91035537422c"/>
    <x:sheet xmlns:r="http://schemas.openxmlformats.org/officeDocument/2006/relationships" name="Prospects" sheetId="2" r:id="Rcf7db96a63914fe0"/>
    <x:sheet xmlns:r="http://schemas.openxmlformats.org/officeDocument/2006/relationships" name="Outreach Copy" sheetId="3" r:id="Rf90fc123ae764d9f"/>
    <x:sheet xmlns:r="http://schemas.openxmlformats.org/officeDocument/2006/relationships" name="Guidance" sheetId="4" r:id="R600b5d84a3de4a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6616F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b/>
      <x:sz val="11"/>
      <x:color rgb="FF1632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4F3"/>
      </x:patternFill>
    </x:fill>
    <x:fill>
      <x:patternFill patternType="solid">
        <x:fgColor rgb="FF1E847F"/>
      </x:patternFill>
    </x:fill>
    <x:fill>
      <x:patternFill patternType="solid">
        <x:fgColor rgb="FFF7E3A3"/>
      </x:patternFill>
    </x:fill>
    <x:fill>
      <x:patternFill patternType="solid">
        <x:fgColor rgb="FFF5F7FA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07d8afa6f04b9a" /><Relationship Type="http://schemas.openxmlformats.org/officeDocument/2006/relationships/theme" Target="/xl/theme/theme1.xml" Id="Ra232247381064d36" /><Relationship Type="http://schemas.openxmlformats.org/officeDocument/2006/relationships/sharedStrings" Target="/xl/sharedStrings.xml" Id="Reb12560fa6454fac" /><Relationship Type="http://schemas.openxmlformats.org/officeDocument/2006/relationships/worksheet" Target="/xl/worksheets/sheet1.xml" Id="R844b91035537422c" /><Relationship Type="http://schemas.openxmlformats.org/officeDocument/2006/relationships/worksheet" Target="/xl/worksheets/sheet2.xml" Id="Rcf7db96a63914fe0" /><Relationship Type="http://schemas.openxmlformats.org/officeDocument/2006/relationships/worksheet" Target="/xl/worksheets/sheet3.xml" Id="Rf90fc123ae764d9f" /><Relationship Type="http://schemas.openxmlformats.org/officeDocument/2006/relationships/worksheet" Target="/xl/worksheets/sheet4.xml" Id="R600b5d84a3de4ab2" /></Relationships>
</file>

<file path=xl/tables/table1.xml><?xml version="1.0" encoding="utf-8"?>
<x:table xmlns:x="http://schemas.openxmlformats.org/spreadsheetml/2006/main" id="1" name="ProviderProspects" displayName="ProviderProspects" ref="A4:N14" headerRowCount="1" totalsRowCount="0" totalsRowShown="0">
  <x:tableColumns count="14">
    <x:tableColumn id="1" name="Priority"/>
    <x:tableColumn id="2" name="Category"/>
    <x:tableColumn id="3" name="Business"/>
    <x:tableColumn id="4" name="Why it may fit"/>
    <x:tableColumn id="5" name="Website"/>
    <x:tableColumn id="6" name="Official contact route"/>
    <x:tableColumn id="7" name="English / expat signal"/>
    <x:tableColumn id="8" name="Research source"/>
    <x:tableColumn id="9" name="Status"/>
    <x:tableColumn id="10" name="First outreach date"/>
    <x:tableColumn id="11" name="Follow-up due"/>
    <x:tableColumn id="12" name="Next action"/>
    <x:tableColumn id="13" name="Owner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9769699cd240bc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4" hidden="0" customWidth="1"/>
    <x:col min="4" max="4" width="2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Frankfurt Expat Services — Provider Outreach Batch 1</x:v>
      </x:c>
    </x:row>
    <x:row r="2" ht="30" customHeight="1">
      <x:c r="A2" s="7" t="str">
        <x:v>Private working tracker • Research leads only • Verify availability and fit before any contact</x:v>
      </x:c>
    </x:row>
    <x:row r="3" ht="24" customHeight="1"/>
    <x:row r="4" ht="24" customHeight="1">
      <x:c r="A4" s="12" t="str">
        <x:v>Pipeline metric</x:v>
      </x:c>
      <x:c r="B4" s="12" t="str">
        <x:v>Count</x:v>
      </x:c>
      <x:c r="D4" s="12" t="str">
        <x:v>Operating rules</x:v>
      </x:c>
      <x:c r="E4" s="12"/>
      <x:c r="F4" s="12"/>
      <x:c r="G4" s="12"/>
      <x:c r="H4" s="12"/>
    </x:row>
    <x:row r="5" ht="38" customHeight="1">
      <x:c r="A5" t="str">
        <x:v>Research leads</x:v>
      </x:c>
      <x:c r="B5" s="15" t="n">
        <x:f>COUNTA(Prospects!A5:A101)</x:f>
        <x:v>10</x:v>
      </x:c>
      <x:c r="D5" s="18" t="str">
        <x:v>1. Personal check: services, English capacity, audience fit, and current contact path.
2. Invite a short discovery conversation—not a paid placement.
3. Only introduce a provider after defined fit and transparent disclosure.
4. Editorial content and partner status remain separate.
5. Log every result; a polite “no” is useful market evidence.</x:v>
      </x:c>
    </x:row>
    <x:row r="6" ht="38" customHeight="1">
      <x:c r="A6" t="str">
        <x:v>Ready to vet</x:v>
      </x:c>
      <x:c r="B6" s="15" t="n">
        <x:f>COUNTIF(Prospects!I2:I101,"Ready to vet")</x:f>
        <x:v>10</x:v>
      </x:c>
    </x:row>
    <x:row r="7" ht="38" customHeight="1">
      <x:c r="A7" t="str">
        <x:v>Contacted</x:v>
      </x:c>
      <x:c r="B7" s="15" t="n">
        <x:f>COUNTIF(Prospects!I2:I101,"Contacted")</x:f>
        <x:v>0</x:v>
      </x:c>
    </x:row>
    <x:row r="8" ht="38" customHeight="1">
      <x:c r="A8" t="str">
        <x:v>Replies</x:v>
      </x:c>
      <x:c r="B8" s="15" t="n">
        <x:f>COUNTIF(Prospects!I2:I101,"Replied")</x:f>
        <x:v>0</x:v>
      </x:c>
    </x:row>
    <x:row r="9" ht="38" customHeight="1">
      <x:c r="A9" t="str">
        <x:v>Conversations booked</x:v>
      </x:c>
      <x:c r="B9" s="15" t="n">
        <x:f>COUNTIF(Prospects!I2:I101,"Conversation booked")</x:f>
        <x:v>0</x:v>
      </x:c>
    </x:row>
    <x:row r="10" ht="24" customHeight="1">
      <x:c r="A10" t="str">
        <x:v>Qualified partners</x:v>
      </x:c>
      <x:c r="B10" s="15" t="n">
        <x:f>COUNTIF(Prospects!I2:I101,"Qualified partner")</x:f>
        <x:v>0</x:v>
      </x:c>
    </x:row>
    <x:row r="11" ht="24" customHeight="1"/>
    <x:row r="12" ht="34" customHeight="1">
      <x:c r="A12" s="20" t="str">
        <x:v>Suggested sequence: validate 3 relocation providers → 3 tax advisers → 2 immigration firms → 2 insurance advisers. Stop and refine the pitch after the first three conversations.</x:v>
      </x:c>
    </x:row>
  </x:sheetData>
  <x:mergeCells>
    <x:mergeCell ref="A1:H1"/>
    <x:mergeCell ref="A2:H2"/>
    <x:mergeCell ref="D4:H4"/>
    <x:mergeCell ref="D5:H9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5" hidden="0" customWidth="1"/>
    <x:col min="4" max="4" width="38" hidden="0" customWidth="1"/>
    <x:col min="5" max="5" width="34" hidden="0" customWidth="1"/>
    <x:col min="6" max="6" width="28" hidden="0" customWidth="1"/>
    <x:col min="7" max="7" width="34" hidden="0" customWidth="1"/>
    <x:col min="8" max="8" width="30" hidden="0" customWidth="1"/>
    <x:col min="9" max="9" width="20" hidden="0" customWidth="1"/>
    <x:col min="10" max="10" width="16" hidden="0" customWidth="1"/>
    <x:col min="11" max="11" width="16" hidden="0" customWidth="1"/>
    <x:col min="12" max="12" width="34" hidden="0" customWidth="1"/>
    <x:col min="13" max="13" width="14" hidden="0" customWidth="1"/>
    <x:col min="14" max="14" width="30" hidden="0" customWidth="1"/>
  </x:cols>
  <x:sheetData>
    <x:row r="1" ht="30" customHeight="1">
      <x:c r="A1" s="4" t="str">
        <x:v>Provider Research Leads — Verify Before Outreach</x:v>
      </x:c>
    </x:row>
    <x:row r="2" ht="30" customHeight="1">
      <x:c r="A2" s="7" t="str">
        <x:v>These businesses are potential-fit research leads, not endorsements. Use the official contact route; do not promise referrals, ranking, or exclusivity. Verified 13 Aug 2026.</x:v>
      </x:c>
    </x:row>
    <x:row r="4">
      <x:c r="A4" s="12" t="str">
        <x:v>Priority</x:v>
      </x:c>
      <x:c r="B4" s="12" t="str">
        <x:v>Category</x:v>
      </x:c>
      <x:c r="C4" s="12" t="str">
        <x:v>Business</x:v>
      </x:c>
      <x:c r="D4" s="12" t="str">
        <x:v>Why it may fit</x:v>
      </x:c>
      <x:c r="E4" s="12" t="str">
        <x:v>Website</x:v>
      </x:c>
      <x:c r="F4" s="12" t="str">
        <x:v>Official contact route</x:v>
      </x:c>
      <x:c r="G4" s="12" t="str">
        <x:v>English / expat signal</x:v>
      </x:c>
      <x:c r="H4" s="12" t="str">
        <x:v>Research source</x:v>
      </x:c>
      <x:c r="I4" s="12" t="str">
        <x:v>Status</x:v>
      </x:c>
      <x:c r="J4" s="12" t="str">
        <x:v>First outreach date</x:v>
      </x:c>
      <x:c r="K4" s="12" t="str">
        <x:v>Follow-up due</x:v>
      </x:c>
      <x:c r="L4" s="12" t="str">
        <x:v>Next action</x:v>
      </x:c>
      <x:c r="M4" s="12" t="str">
        <x:v>Owner</x:v>
      </x:c>
      <x:c r="N4" s="12" t="str">
        <x:v>Notes</x:v>
      </x:c>
    </x:row>
    <x:row r="5" ht="58" customHeight="1">
      <x:c r="A5" s="22" t="str">
        <x:v>1</x:v>
      </x:c>
      <x:c r="B5" s="22" t="str">
        <x:v>Relocation</x:v>
      </x:c>
      <x:c r="C5" s="22" t="str">
        <x:v>CityLink Relocation</x:v>
      </x:c>
      <x:c r="D5" s="22" t="str">
        <x:v>Frankfurt/Rhein-Main relocation support; multilingual, international transfers</x:v>
      </x:c>
      <x:c r="E5" s="22" t="str">
        <x:v>https://www.clr.de/index-en.html</x:v>
      </x:c>
      <x:c r="F5" s="22" t="str">
        <x:v>Official email/contact page</x:v>
      </x:c>
      <x:c r="G5" s="22" t="str">
        <x:v>Multilingual relocation support for international transfers</x:v>
      </x:c>
      <x:c r="H5" s="22" t="str">
        <x:v>Official site</x:v>
      </x:c>
      <x:c r="I5" s="22" t="str">
        <x:v>Ready to vet</x:v>
      </x:c>
      <x:c r="J5" s="22" t="str"/>
      <x:c r="K5" s="22" t="str"/>
      <x:c r="L5" s="22" t="str">
        <x:v>Check individual-client fit and partner contact preference</x:v>
      </x:c>
      <x:c r="M5" s="22" t="str">
        <x:v>Michael</x:v>
      </x:c>
      <x:c r="N5" s="22" t="str">
        <x:v>Potential early conversation: referrals and newcomer needs</x:v>
      </x:c>
    </x:row>
    <x:row r="6" ht="58" customHeight="1">
      <x:c r="A6" s="22" t="str">
        <x:v>2</x:v>
      </x:c>
      <x:c r="B6" s="22" t="str">
        <x:v>Relocation</x:v>
      </x:c>
      <x:c r="C6" s="22" t="str">
        <x:v>BS relocation services</x:v>
      </x:c>
      <x:c r="D6" s="22" t="str">
        <x:v>Frankfurt-based relocation and immigration-support services</x:v>
      </x:c>
      <x:c r="E6" s="22" t="str">
        <x:v>https://bs-relocation.com/services/</x:v>
      </x:c>
      <x:c r="F6" s="22" t="str">
        <x:v>Official contact form / info@bs-relocation.com</x:v>
      </x:c>
      <x:c r="G6" s="22" t="str">
        <x:v>Lists residence/work permits, housing, registration and settling-in support</x:v>
      </x:c>
      <x:c r="H6" s="22" t="str">
        <x:v>Official site</x:v>
      </x:c>
      <x:c r="I6" s="22" t="str">
        <x:v>Ready to vet</x:v>
      </x:c>
      <x:c r="J6" s="22" t="str"/>
      <x:c r="K6" s="22" t="str"/>
      <x:c r="L6" s="22" t="str">
        <x:v>Confirm current individual-client capacity and English service</x:v>
      </x:c>
      <x:c r="M6" s="22" t="str">
        <x:v>Michael</x:v>
      </x:c>
      <x:c r="N6" s="22" t="str">
        <x:v>Avoid overlap claims; assess scope first</x:v>
      </x:c>
    </x:row>
    <x:row r="7" ht="58" customHeight="1">
      <x:c r="A7" s="22" t="str">
        <x:v>3</x:v>
      </x:c>
      <x:c r="B7" s="22" t="str">
        <x:v>Immigration</x:v>
      </x:c>
      <x:c r="C7" s="22" t="str">
        <x:v>Fragomen Frankfurt</x:v>
      </x:c>
      <x:c r="D7" s="22" t="str">
        <x:v>Established Frankfurt immigration practice with global footprint</x:v>
      </x:c>
      <x:c r="E7" s="22" t="str">
        <x:v>https://www.fragomen.com/offices/frankfurt.html</x:v>
      </x:c>
      <x:c r="F7" s="22" t="str">
        <x:v>Official Frankfurt inquiry form</x:v>
      </x:c>
      <x:c r="G7" s="22" t="str">
        <x:v>Immigration professionals supporting Germany/Eastern Europe; company and individual scope to verify</x:v>
      </x:c>
      <x:c r="H7" s="22" t="str">
        <x:v>Official site</x:v>
      </x:c>
      <x:c r="I7" s="22" t="str">
        <x:v>Ready to vet</x:v>
      </x:c>
      <x:c r="J7" s="22" t="str"/>
      <x:c r="K7" s="22" t="str"/>
      <x:c r="L7" s="22" t="str">
        <x:v>Confirm appetite for newcomer referrals and suitable matters</x:v>
      </x:c>
      <x:c r="M7" s="22" t="str">
        <x:v>Michael</x:v>
      </x:c>
      <x:c r="N7" s="22" t="str">
        <x:v>Likely business-focused; do not assume individual representation</x:v>
      </x:c>
    </x:row>
    <x:row r="8" ht="58" customHeight="1">
      <x:c r="A8" s="22" t="str">
        <x:v>4</x:v>
      </x:c>
      <x:c r="B8" s="22" t="str">
        <x:v>Tax</x:v>
      </x:c>
      <x:c r="C8" s="22" t="str">
        <x:v>Steuerkanzlei Popat</x:v>
      </x:c>
      <x:c r="D8" s="22" t="str">
        <x:v>Explicitly serves expats and international professionals in Frankfurt</x:v>
      </x:c>
      <x:c r="E8" s="22" t="str">
        <x:v>https://www.steuerkanzlei-popat.de/en</x:v>
      </x:c>
      <x:c r="F8" s="22" t="str">
        <x:v>Official contact form / contact@steuerkanzlei-popat.de</x:v>
      </x:c>
      <x:c r="G8" s="22" t="str">
        <x:v>English-speaking German tax advice for expats and cross-border cases</x:v>
      </x:c>
      <x:c r="H8" s="22" t="str">
        <x:v>Official site</x:v>
      </x:c>
      <x:c r="I8" s="22" t="str">
        <x:v>Ready to vet</x:v>
      </x:c>
      <x:c r="J8" s="22" t="str"/>
      <x:c r="K8" s="22" t="str"/>
      <x:c r="L8" s="22" t="str">
        <x:v>Review availability and package fit; send personalised founding-profile invitation</x:v>
      </x:c>
      <x:c r="M8" s="22" t="str">
        <x:v>Michael</x:v>
      </x:c>
      <x:c r="N8" s="22" t="str">
        <x:v>Strong first-conversation candidate</x:v>
      </x:c>
    </x:row>
    <x:row r="9" ht="58" customHeight="1">
      <x:c r="A9" s="22" t="str">
        <x:v>5</x:v>
      </x:c>
      <x:c r="B9" s="22" t="str">
        <x:v>Tax</x:v>
      </x:c>
      <x:c r="C9" s="22" t="str">
        <x:v>UHY Wahlen &amp; Mannsky</x:v>
      </x:c>
      <x:c r="D9" s="22" t="str">
        <x:v>Frankfurt tax consultancy with international-tax expertise and English capability</x:v>
      </x:c>
      <x:c r="E9" s="22" t="str">
        <x:v>https://uhy-ffm.com/en/tax-consultancy/</x:v>
      </x:c>
      <x:c r="F9" s="22" t="str">
        <x:v>Official contact page / info@uhy-frankfurt.com</x:v>
      </x:c>
      <x:c r="G9" s="22" t="str">
        <x:v>International tax law / English listed for relevant adviser</x:v>
      </x:c>
      <x:c r="H9" s="22" t="str">
        <x:v>Official site</x:v>
      </x:c>
      <x:c r="I9" s="22" t="str">
        <x:v>Ready to vet</x:v>
      </x:c>
      <x:c r="J9" s="22" t="str"/>
      <x:c r="K9" s="22" t="str"/>
      <x:c r="L9" s="22" t="str">
        <x:v>Check suitability for individual expat tax needs vs corporate focus</x:v>
      </x:c>
      <x:c r="M9" s="22" t="str">
        <x:v>Michael</x:v>
      </x:c>
      <x:c r="N9" s="22" t="str">
        <x:v>Possible complex-case referral route</x:v>
      </x:c>
    </x:row>
    <x:row r="10" ht="58" customHeight="1">
      <x:c r="A10" s="22" t="str">
        <x:v>6</x:v>
      </x:c>
      <x:c r="B10" s="22" t="str">
        <x:v>Insurance</x:v>
      </x:c>
      <x:c r="C10" s="22" t="str">
        <x:v>NEOdirect</x:v>
      </x:c>
      <x:c r="D10" s="22" t="str">
        <x:v>Independent broker advertising English-language support for expatriates</x:v>
      </x:c>
      <x:c r="E10" s="22" t="str">
        <x:v>https://neodirect.de/en/locations</x:v>
      </x:c>
      <x:c r="F10" s="22" t="str">
        <x:v>Official booking/contact route</x:v>
      </x:c>
      <x:c r="G10" s="22" t="str">
        <x:v>English advice; specializes in Indian expats; insurance topics listed</x:v>
      </x:c>
      <x:c r="H10" s="22" t="str">
        <x:v>Official site</x:v>
      </x:c>
      <x:c r="I10" s="22" t="str">
        <x:v>Ready to vet</x:v>
      </x:c>
      <x:c r="J10" s="22" t="str"/>
      <x:c r="K10" s="22" t="str"/>
      <x:c r="L10" s="22" t="str">
        <x:v>Confirm client geography, independence disclosures and insurance scope</x:v>
      </x:c>
      <x:c r="M10" s="22" t="str">
        <x:v>Michael</x:v>
      </x:c>
      <x:c r="N10" s="22" t="str">
        <x:v>Must preserve neutral editorial insurance guidance</x:v>
      </x:c>
    </x:row>
    <x:row r="11" ht="58" customHeight="1">
      <x:c r="A11" s="22" t="str">
        <x:v>7</x:v>
      </x:c>
      <x:c r="B11" s="22" t="str">
        <x:v>Relocation</x:v>
      </x:c>
      <x:c r="C11" s="22" t="str">
        <x:v>Globus Immigration &amp; Relocation</x:v>
      </x:c>
      <x:c r="D11" s="22" t="str">
        <x:v>Potential relocation/immigration lead referenced in Frankfurt newcomer materials</x:v>
      </x:c>
      <x:c r="E11" s="22" t="str">
        <x:v>https://www.globus-ir.com/</x:v>
      </x:c>
      <x:c r="F11" s="22" t="str">
        <x:v>Official website — confirm live Frankfurt route</x:v>
      </x:c>
      <x:c r="G11" s="22" t="str">
        <x:v>Frankfurt-oriented relocation/immigration lead; verify exact service and language fit</x:v>
      </x:c>
      <x:c r="H11" s="22" t="str">
        <x:v>Frankfurt newcomer resource / official site</x:v>
      </x:c>
      <x:c r="I11" s="22" t="str">
        <x:v>Ready to vet</x:v>
      </x:c>
      <x:c r="J11" s="22" t="str"/>
      <x:c r="K11" s="22" t="str"/>
      <x:c r="L11" s="22" t="str">
        <x:v>Confirm active Frankfurt operation before contact</x:v>
      </x:c>
      <x:c r="M11" s="22" t="str">
        <x:v>Michael</x:v>
      </x:c>
      <x:c r="N11" s="22" t="str">
        <x:v>Research lead only; lower confidence</x:v>
      </x:c>
    </x:row>
    <x:row r="12" ht="58" customHeight="1">
      <x:c r="A12" s="22" t="str">
        <x:v>8</x:v>
      </x:c>
      <x:c r="B12" s="22" t="str">
        <x:v>Relocation</x:v>
      </x:c>
      <x:c r="C12" s="22" t="str">
        <x:v>Clapham GmbH</x:v>
      </x:c>
      <x:c r="D12" s="22" t="str">
        <x:v>Frankfurt-area relocation lead referenced in newcomer materials</x:v>
      </x:c>
      <x:c r="E12" s="22" t="str">
        <x:v>https://www.clapham.de/</x:v>
      </x:c>
      <x:c r="F12" s="22" t="str">
        <x:v>Official website — confirm current contact path</x:v>
      </x:c>
      <x:c r="G12" s="22" t="str">
        <x:v>Potential international relocation fit; verify English and individual services</x:v>
      </x:c>
      <x:c r="H12" s="22" t="str">
        <x:v>Frankfurt newcomer resource / official site</x:v>
      </x:c>
      <x:c r="I12" s="22" t="str">
        <x:v>Ready to vet</x:v>
      </x:c>
      <x:c r="J12" s="22" t="str"/>
      <x:c r="K12" s="22" t="str"/>
      <x:c r="L12" s="22" t="str">
        <x:v>Confirm current Frankfurt and newcomer services</x:v>
      </x:c>
      <x:c r="M12" s="22" t="str">
        <x:v>Michael</x:v>
      </x:c>
      <x:c r="N12" s="22" t="str">
        <x:v>Research lead only; lower confidence</x:v>
      </x:c>
    </x:row>
    <x:row r="13" ht="58" customHeight="1">
      <x:c r="A13" s="22" t="str">
        <x:v>9</x:v>
      </x:c>
      <x:c r="B13" s="22" t="str">
        <x:v>Immigration</x:v>
      </x:c>
      <x:c r="C13" s="22" t="str">
        <x:v>Schlun &amp; Elseven</x:v>
      </x:c>
      <x:c r="D13" s="22" t="str">
        <x:v>Germany law firm with English-language immigration information; Frankfurt availability to verify</x:v>
      </x:c>
      <x:c r="E13" s="22" t="str">
        <x:v>https://se-legal.de/</x:v>
      </x:c>
      <x:c r="F13" s="22" t="str">
        <x:v>Official contact route — confirm Frankfurt team</x:v>
      </x:c>
      <x:c r="G13" s="22" t="str">
        <x:v>English-language immigration-law information; verify local delivery</x:v>
      </x:c>
      <x:c r="H13" s="22" t="str">
        <x:v>Official site</x:v>
      </x:c>
      <x:c r="I13" s="22" t="str">
        <x:v>Ready to vet</x:v>
      </x:c>
      <x:c r="J13" s="22" t="str"/>
      <x:c r="K13" s="22" t="str"/>
      <x:c r="L13" s="22" t="str">
        <x:v>Confirm Frankfurt availability, scope and consumer-case capacity</x:v>
      </x:c>
      <x:c r="M13" s="22" t="str">
        <x:v>Michael</x:v>
      </x:c>
      <x:c r="N13" s="22" t="str">
        <x:v>No listing/claim until individually vetted</x:v>
      </x:c>
    </x:row>
    <x:row r="14" ht="58" customHeight="1">
      <x:c r="A14" s="22" t="str">
        <x:v>10</x:v>
      </x:c>
      <x:c r="B14" s="22" t="str">
        <x:v>Tax</x:v>
      </x:c>
      <x:c r="C14" s="22" t="str">
        <x:v>Tax Office Frankfurt</x:v>
      </x:c>
      <x:c r="D14" s="22" t="str">
        <x:v>English-speaking tax-advice lead; exact provider credentials and service mix to verify</x:v>
      </x:c>
      <x:c r="E14" s="22" t="str">
        <x:v>https://en.stb-ffm.eu/</x:v>
      </x:c>
      <x:c r="F14" s="22" t="str">
        <x:v>Official website contact route</x:v>
      </x:c>
      <x:c r="G14" s="22" t="str">
        <x:v>English-language tax-advice website; verify regulated adviser credentials</x:v>
      </x:c>
      <x:c r="H14" s="22" t="str">
        <x:v>Official site</x:v>
      </x:c>
      <x:c r="I14" s="22" t="str">
        <x:v>Ready to vet</x:v>
      </x:c>
      <x:c r="J14" s="22" t="str"/>
      <x:c r="K14" s="22" t="str"/>
      <x:c r="L14" s="22" t="str">
        <x:v>Check credentials, office location and suitability before any outreach</x:v>
      </x:c>
      <x:c r="M14" s="22" t="str">
        <x:v>Michael</x:v>
      </x:c>
      <x:c r="N14" s="22" t="str">
        <x:v>Research lead only; do not feature until verified</x:v>
      </x:c>
    </x:row>
  </x:sheetData>
  <x:mergeCells>
    <x:mergeCell ref="A1:N1"/>
    <x:mergeCell ref="A2:N2"/>
  </x:mergeCells>
  <x:dataValidations count="1">
    <x:dataValidation type="list" sqref="I5:I104">
      <x:formula1>"Ready to vet,Contacted,Replied,Conversation booked,Qualified partner,Not a fit,Closed"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9769699cd240b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4" t="str">
        <x:v>Founding Provider Invitation — Send Only After Vetting</x:v>
      </x:c>
    </x:row>
    <x:row r="3">
      <x:c r="A3" s="19" t="str">
        <x:v>Subject: A free founding profile for Frankfurt’s international newcomers</x:v>
      </x:c>
    </x:row>
    <x:row r="5" ht="32" customHeight="1">
      <x:c r="A5" s="18" t="str">
        <x:v>Hello [Name],
I run Frankfurt Expat Services, a source-linked guide and directory for international newcomers settling in Frankfurt.
I’m inviting a small founding group of English-friendly [category] providers to receive a free, clearly labelled profile while I learn which referral paths are genuinely useful for newcomers.
We do not sell rankings, and a paid relationship will never influence our editorial guidance. If your team is accepting suitable international clients, would you be open to a 15-minute conversation? I’ll share the questions newcomers are asking, their language needs, and how I plan to qualify any future introductions.
Best,
Michael
Frankfurt Expat Services</x:v>
      </x:c>
    </x:row>
    <x:row r="6" ht="32" customHeight="1"/>
    <x:row r="7" ht="32" customHeight="1"/>
    <x:row r="8" ht="32" customHeight="1"/>
    <x:row r="9" ht="32" customHeight="1"/>
    <x:row r="10" ht="32" customHeight="1"/>
    <x:row r="11" ht="32" customHeight="1"/>
    <x:row r="13" ht="35" customHeight="1">
      <x:c r="A13" s="24" t="str">
        <x:v>Personalisation prompts before sending: mention one verified service, ask whether they handle the exact newcomer scenario, and use their preferred official contact route.</x:v>
      </x:c>
    </x:row>
  </x:sheetData>
  <x:mergeCells>
    <x:mergeCell ref="A1:G1"/>
    <x:mergeCell ref="A3:G3"/>
    <x:mergeCell ref="A5:G11"/>
    <x:mergeCell ref="A13:G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8" hidden="0" customWidth="1"/>
    <x:col min="2" max="2" width="22" hidden="0" customWidth="1"/>
  </x:cols>
  <x:sheetData>
    <x:row r="1">
      <x:c r="A1" s="4" t="str">
        <x:v>Partner Qualification Checklist</x:v>
      </x:c>
    </x:row>
    <x:row r="3">
      <x:c r="A3" s="12" t="str">
        <x:v>Before any listing or referral</x:v>
      </x:c>
      <x:c r="B3" s="12" t="str">
        <x:v>Decision</x:v>
      </x:c>
    </x:row>
    <x:row r="4" ht="28" customHeight="1">
      <x:c r="A4" s="25" t="str">
        <x:v>Current legal entity / regulated credentials verified where relevant</x:v>
      </x:c>
      <x:c r="B4" s="25" t="str"/>
    </x:row>
    <x:row r="5" ht="28" customHeight="1">
      <x:c r="A5" s="25" t="str">
        <x:v>Official website and preferred contact path live</x:v>
      </x:c>
      <x:c r="B5" s="25" t="str"/>
    </x:row>
    <x:row r="6" ht="28" customHeight="1">
      <x:c r="A6" s="25" t="str">
        <x:v>English capacity and Frankfurt / Rhine-Main scope confirmed</x:v>
      </x:c>
      <x:c r="B6" s="25" t="str"/>
    </x:row>
    <x:row r="7" ht="28" customHeight="1">
      <x:c r="A7" s="25" t="str">
        <x:v>Client type and practical capacity confirmed</x:v>
      </x:c>
      <x:c r="B7" s="25" t="str"/>
    </x:row>
    <x:row r="8" ht="28" customHeight="1">
      <x:c r="A8" s="25" t="str">
        <x:v>No misleading outcome, guarantee, or affiliation claims</x:v>
      </x:c>
      <x:c r="B8" s="25" t="str"/>
    </x:row>
    <x:row r="9" ht="28" customHeight="1">
      <x:c r="A9" s="25" t="str">
        <x:v>Disclosure and editorial-independence policy accepted</x:v>
      </x:c>
      <x:c r="B9" s="25" t="str"/>
    </x:row>
    <x:row r="10" ht="28" customHeight="1">
      <x:c r="A10" s="25" t="str">
        <x:v>Referral handoff and feedback loop agreed</x:v>
      </x:c>
      <x:c r="B10" s="25" t="str"/>
    </x:row>
  </x:sheetData>
  <x:mergeCells>
    <x:mergeCell ref="A1:F1"/>
  </x:mergeCells>
  <x:dataValidations count="1">
    <x:dataValidation type="list" sqref="B4:B10">
      <x:formula1>"Not checked,Yes,No,Needs follow-up"</x:formula1>
    </x:dataValidation>
  </x:dataValidations>
  <x:pageMargins left="0.7" right="0.7" top="0.75" bottom="0.75" header="0.3" footer="0.3"/>
</x:worksheet>
</file>